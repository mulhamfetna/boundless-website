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بدأ هنا" sheetId="1" state="visible" r:id="rId3"/>
    <sheet name="النقاط والمستوى" sheetId="2" state="visible" r:id="rId4"/>
    <sheet name="اللمسات الخمس" sheetId="3" state="visible" r:id="rId5"/>
    <sheet name="الأرقام الشهرية" sheetId="4" state="visible" r:id="rId6"/>
    <sheet name="تقويم المحتو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<sst xmlns="http://schemas.openxmlformats.org/spreadsheetml/2006/main" count="106" uniqueCount="105">
  <si>
    <t xml:space="preserve">جدول متابعة PB101 · الثقة قبل التمويل</t>
  </si>
  <si>
    <t xml:space="preserve">PB101 tracker · Trust Before Funding · GEW Syria 2026 · Boundless</t>
  </si>
  <si>
    <t xml:space="preserve">كيف تستعمله</t>
  </si>
  <si>
    <t xml:space="preserve">How to use</t>
  </si>
  <si>
    <t xml:space="preserve">الخلايا الصفراء هي اللي بتعبّيها. الباقي معادلات بتحسب لحالها.</t>
  </si>
  <si>
    <t xml:space="preserve">Yellow cells are for you to fill in. Everything else is calculated.</t>
  </si>
  <si>
    <t xml:space="preserve">الصف الأزرق الفاتح بكل جدول مثال، امسحه أو اكتب فوقه.</t>
  </si>
  <si>
    <t xml:space="preserve">The light-blue row in each table is an example; overwrite or delete it.</t>
  </si>
  <si>
    <t xml:space="preserve">1. «النقاط والمستوى»: علّم المهام اللي خلصتها، وبيطلعلك مستواك.</t>
  </si>
  <si>
    <t xml:space="preserve">1. XP &amp; level: mark tasks done to see your level.</t>
  </si>
  <si>
    <t xml:space="preserve">2. «اللمسات الخمس»: اكتب تاريخ كل لمسة مع كل شخص بخريطتك.</t>
  </si>
  <si>
    <t xml:space="preserve">2. Five touches: log the date of each touch per person.</t>
  </si>
  <si>
    <t xml:space="preserve">3. «الأرقام الشهرية»: أول يوم بكل شهر، سجّل الأرقام الأربعة.</t>
  </si>
  <si>
    <t xml:space="preserve">3. Monthly numbers: log the four numbers on the 1st of each month.</t>
  </si>
  <si>
    <t xml:space="preserve">4. «تقويم المحتوى»: خطّط 3 بوستات بالأسبوع وعلّم اللي نشرته.</t>
  </si>
  <si>
    <t xml:space="preserve">4. Content calendar: plan 3 posts a week and mark what you posted.</t>
  </si>
  <si>
    <t xml:space="preserve">الملفات والروابط</t>
  </si>
  <si>
    <t xml:space="preserve">Files and links</t>
  </si>
  <si>
    <t xml:space="preserve">boundlessacademic.com/pb101</t>
  </si>
  <si>
    <t xml:space="preserve">Workbook PDF, badges and this tracker</t>
  </si>
  <si>
    <t xml:space="preserve">boundlessacademic.com/links</t>
  </si>
  <si>
    <t xml:space="preserve">WhatsApp community, Instagram @boundless.academics, Facebook</t>
  </si>
  <si>
    <t xml:space="preserve">contact@boundlessacademic.com</t>
  </si>
  <si>
    <t xml:space="preserve">Questions, or 1:1 sessions (mention PB101)</t>
  </si>
  <si>
    <t xml:space="preserve">تأتي هذه الفعالية ضمن الأسبوع العالمي لريادة الأعمال في سوريا، الذي تنظمه ستارت أب سوريا ضمن المبادرة العالمية التي تقودها الشبكة العالمية لريادة الأعمال (GEN)، وتُقام بتنظيم من باوندلس.</t>
  </si>
  <si>
    <t xml:space="preserve">#GEW2026 #GEWSyria #StartupSyria #EntrepreneursThriveHere</t>
  </si>
  <si>
    <t xml:space="preserve">النقاط والمستوى</t>
  </si>
  <si>
    <t xml:space="preserve">XP and level: type «نعم» (yes) in the Done column</t>
  </si>
  <si>
    <t xml:space="preserve">المهمة · Task</t>
  </si>
  <si>
    <t xml:space="preserve">النقاط · XP</t>
  </si>
  <si>
    <t xml:space="preserve">خلصت؟ · Done</t>
  </si>
  <si>
    <t xml:space="preserve">المكتسب · Earned</t>
  </si>
  <si>
    <t xml:space="preserve">اليوم 1: Headline + صورة</t>
  </si>
  <si>
    <t xml:space="preserve">نعم</t>
  </si>
  <si>
    <t xml:space="preserve">اليوم 2: 3 أدلة بالـ Featured</t>
  </si>
  <si>
    <t xml:space="preserve">اليوم 3: ORCID أو GitHub</t>
  </si>
  <si>
    <t xml:space="preserve">اليوم 4: نشر بوست</t>
  </si>
  <si>
    <t xml:space="preserve">اليوم 5: 3 تعليقات حقيقية</t>
  </si>
  <si>
    <t xml:space="preserve">اليوم 6: خريطة المموّلين</t>
  </si>
  <si>
    <t xml:space="preserve">اليوم 7: أول رسالة دافئة</t>
  </si>
  <si>
    <t xml:space="preserve">نتيجة التدقيق 70 أو أكتر</t>
  </si>
  <si>
    <t xml:space="preserve">Pitch canvas كامل</t>
  </si>
  <si>
    <t xml:space="preserve">خريطة الشبكة: 12 اسم</t>
  </si>
  <si>
    <t xml:space="preserve">10 تعليقات حقيقية</t>
  </si>
  <si>
    <t xml:space="preserve">3 طلبات دافئة مرسلة</t>
  </si>
  <si>
    <t xml:space="preserve">بوست مع #GEWSyria</t>
  </si>
  <si>
    <t xml:space="preserve">مشاركة أرقامك بعد 30 يوم</t>
  </si>
  <si>
    <t xml:space="preserve">مجموع النقاط · Total XP</t>
  </si>
  <si>
    <t xml:space="preserve">المستوى · Level</t>
  </si>
  <si>
    <t xml:space="preserve">عتبات المستويات: 50 / 100 / 150 / 200 نقطة (من دليل العمل، ص 2)</t>
  </si>
  <si>
    <t xml:space="preserve">متتبّع اللمسات الخمس</t>
  </si>
  <si>
    <t xml:space="preserve">Five-touch tracker: write the date of each touch. Spread them over 3–4 weeks.</t>
  </si>
  <si>
    <t xml:space="preserve">الاسم · Name</t>
  </si>
  <si>
    <t xml:space="preserve">الدائرة · Circle</t>
  </si>
  <si>
    <t xml:space="preserve">المؤسسة · Organisation</t>
  </si>
  <si>
    <t xml:space="preserve">الرابط · Link</t>
  </si>
  <si>
    <t xml:space="preserve">1 تابع · Follow</t>
  </si>
  <si>
    <t xml:space="preserve">2 علّق · Comment</t>
  </si>
  <si>
    <t xml:space="preserve">3 شارك · Share</t>
  </si>
  <si>
    <t xml:space="preserve">4 قيمة · Value</t>
  </si>
  <si>
    <t xml:space="preserve">5 اطلب · Ask</t>
  </si>
  <si>
    <t xml:space="preserve">عدد اللمسات · Touches</t>
  </si>
  <si>
    <t xml:space="preserve">الخطوة الجاية · Next step</t>
  </si>
  <si>
    <t xml:space="preserve">د. سارة (مثال)</t>
  </si>
  <si>
    <t xml:space="preserve">المموّلون</t>
  </si>
  <si>
    <t xml:space="preserve">برنامج منح بحثية</t>
  </si>
  <si>
    <t xml:space="preserve">linkedin.com/in/…</t>
  </si>
  <si>
    <t xml:space="preserve">ابعت ملخص النتائج</t>
  </si>
  <si>
    <t xml:space="preserve">مموّلون وصلوا للّمسة 3+ · Funders at touch 3+</t>
  </si>
  <si>
    <t xml:space="preserve">الأرقام الأربعة كل شهر</t>
  </si>
  <si>
    <t xml:space="preserve">Four numbers a month, not likes. Log them on the 1st of each month.</t>
  </si>
  <si>
    <t xml:space="preserve">الشهر · Month</t>
  </si>
  <si>
    <t xml:space="preserve">1 ظهور بالبحث · Search appearances</t>
  </si>
  <si>
    <t xml:space="preserve">1 زيارات البروفايل · Profile views</t>
  </si>
  <si>
    <t xml:space="preserve">2 محادثات حقيقية · Real conversations</t>
  </si>
  <si>
    <t xml:space="preserve">3 مموّلون باللمسة 3+ · Funders at touch 3+</t>
  </si>
  <si>
    <t xml:space="preserve">4 طلبات · Asks made</t>
  </si>
  <si>
    <t xml:space="preserve">4 اجتماعات · Meetings</t>
  </si>
  <si>
    <t xml:space="preserve">نسبة الطلب ← اجتماع · Ask → meeting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</si>
  <si>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</si>
  <si>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</si>
  <si>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</si>
  <si>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</si>
  <si>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</si>
  <si>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</si>
  <si>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الصف الأول مثال، اكتب أرقامك فوقه. العمود 3 تقدر تنسخه من «اللمسات الخمس».</t>
  </si>
  <si>
    <t xml:space="preserve">Row 5 is an example; overwrite it. Column E can be copied from the five-touch sheet total.</t>
  </si>
  <si>
    <t xml:space="preserve">تقويم محتوى 4 أسابيع</t>
  </si>
  <si>
    <t xml:space="preserve">Four-week content calendar: 3 posts a week</t>
  </si>
  <si>
    <t xml:space="preserve">الأسبوع · Week</t>
  </si>
  <si>
    <t xml:space="preserve">التاريخ · Date</t>
  </si>
  <si>
    <t xml:space="preserve">المنصّة · Platform</t>
  </si>
  <si>
    <t xml:space="preserve">النوع · Format</t>
  </si>
  <si>
    <t xml:space="preserve">Hook</t>
  </si>
  <si>
    <t xml:space="preserve">CTA</t>
  </si>
  <si>
    <t xml:space="preserve">نشرت؟ · Posted</t>
  </si>
  <si>
    <t xml:space="preserve">1 · مين أنا وشو المشكلة</t>
  </si>
  <si>
    <t xml:space="preserve">LinkedIn</t>
  </si>
  <si>
    <t xml:space="preserve">تعريف</t>
  </si>
  <si>
    <t xml:space="preserve">ليش طلب التمويل تبعك ما عم يوصل للمرحلة التانية؟</t>
  </si>
  <si>
    <t xml:space="preserve">تابعني إذا بدك تشوف كيف بنحوّل البحث لمنتج.</t>
  </si>
  <si>
    <t xml:space="preserve">2 · الإثبات</t>
  </si>
  <si>
    <t xml:space="preserve">3 · الرحلة والدروس</t>
  </si>
  <si>
    <t xml:space="preserve">4 · الطلب والمجتمع</t>
  </si>
  <si>
    <t xml:space="preserve">بوستات منشورة · Posts published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</si>
</sst>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2F3D"/>
      <name val="Arial"/>
      <family val="0"/>
      <charset val="1"/>
    </font>
    <font>
      <sz val="11"/>
      <color rgb="FF146C94"/>
      <name val="Arial"/>
      <family val="0"/>
      <charset val="1"/>
    </font>
    <font>
      <b val="true"/>
      <sz val="11"/>
      <color rgb="FF0A2F3D"/>
      <name val="Arial"/>
      <family val="0"/>
      <charset val="1"/>
    </font>
    <font>
      <b val="true"/>
      <sz val="11"/>
      <color rgb="FF146C94"/>
      <name val="Arial"/>
      <family val="0"/>
      <charset val="1"/>
    </font>
    <font>
      <sz val="11"/>
      <color rgb="FF2D4E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52747F"/>
      <name val="Arial"/>
      <family val="0"/>
      <charset val="1"/>
    </font>
    <font>
      <b val="true"/>
      <sz val="14"/>
      <color rgb="FF146C94"/>
      <name val="Arial"/>
      <family val="0"/>
      <charset val="1"/>
    </font>
    <font>
      <b val="true"/>
      <sz val="13"/>
      <color rgb="FF0A2F3D"/>
      <name val="Arial"/>
      <family val="0"/>
      <charset val="1"/>
    </font>
    <font>
      <sz val="9"/>
      <color rgb="FF52747F"/>
      <name val="Arial"/>
      <family val="0"/>
      <charset val="1"/>
    </font>
    <font>
      <b val="true"/>
      <sz val="13"/>
      <color rgb="FF146C9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0A2F3D"/>
        <bgColor rgb="FF003300"/>
      </patternFill>
    </fill>
    <fill>
      <patternFill patternType="solid">
        <fgColor rgb="FFE3F0F5"/>
        <bgColor rgb="FFD9E5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5EA"/>
      </left>
      <right style="thin">
        <color rgb="FFD9E5EA"/>
      </right>
      <top style="thin">
        <color rgb="FFD9E5EA"/>
      </top>
      <bottom style="thin">
        <color rgb="FFD9E5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D23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C94"/>
      <rgbColor rgb="FFC0C0C0"/>
      <rgbColor rgb="FF808080"/>
      <rgbColor rgb="FF9999FF"/>
      <rgbColor rgb="FF993366"/>
      <rgbColor rgb="FFFFF6CC"/>
      <rgbColor rgb="FFE3F0F5"/>
      <rgbColor rgb="FF660066"/>
      <rgbColor rgb="FFFF8080"/>
      <rgbColor rgb="FF0066CC"/>
      <rgbColor rgb="FFD9E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23F"/>
      <rgbColor rgb="FFFF9900"/>
      <rgbColor rgb="FFFF6600"/>
      <rgbColor rgb="FF52747F"/>
      <rgbColor rgb="FF969696"/>
      <rgbColor rgb="FF0A2F3D"/>
      <rgbColor rgb="FF339966"/>
      <rgbColor rgb="FF003300"/>
      <rgbColor rgb="FF333300"/>
      <rgbColor rgb="FF993300"/>
      <rgbColor rgb="FF993366"/>
      <rgbColor rgb="FF333399"/>
      <rgbColor rgb="FF2D4E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26.85" hidden="false" customHeight="false" outlineLevel="0" collapsed="false">
      <c r="A6" s="7" t="s">
        <v>6</v>
      </c>
      <c r="B6" s="6" t="s">
        <v>7</v>
      </c>
    </row>
    <row r="7" customFormat="false" ht="15" hidden="false" customHeight="false" outlineLevel="0" collapsed="false">
      <c r="A7" s="7" t="s">
        <v>8</v>
      </c>
      <c r="B7" s="6" t="s">
        <v>9</v>
      </c>
    </row>
    <row r="8" customFormat="false" ht="15" hidden="false" customHeight="false" outlineLevel="0" collapsed="false">
      <c r="A8" s="7" t="s">
        <v>10</v>
      </c>
      <c r="B8" s="6" t="s">
        <v>11</v>
      </c>
    </row>
    <row r="9" customFormat="false" ht="26.85" hidden="false" customHeight="false" outlineLevel="0" collapsed="false">
      <c r="A9" s="7" t="s">
        <v>12</v>
      </c>
      <c r="B9" s="6" t="s">
        <v>13</v>
      </c>
    </row>
    <row r="10" customFormat="false" ht="26.85" hidden="false" customHeight="false" outlineLevel="0" collapsed="false">
      <c r="A10" s="7" t="s">
        <v>14</v>
      </c>
      <c r="B10" s="6" t="s">
        <v>15</v>
      </c>
    </row>
    <row r="11" customFormat="false" ht="15" hidden="false" customHeight="false" outlineLevel="0" collapsed="false">
      <c r="A11" s="7"/>
      <c r="B11" s="6"/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7" t="s">
        <v>18</v>
      </c>
      <c r="B13" s="6" t="s">
        <v>19</v>
      </c>
    </row>
    <row r="14" customFormat="false" ht="26.85" hidden="false" customHeight="false" outlineLevel="0" collapsed="false">
      <c r="A14" s="7" t="s">
        <v>20</v>
      </c>
      <c r="B14" s="6" t="s">
        <v>21</v>
      </c>
    </row>
    <row r="15" customFormat="false" ht="15" hidden="false" customHeight="false" outlineLevel="0" collapsed="false">
      <c r="A15" s="7" t="s">
        <v>22</v>
      </c>
      <c r="B15" s="6" t="s">
        <v>23</v>
      </c>
    </row>
    <row r="16" customFormat="false" ht="15" hidden="false" customHeight="false" outlineLevel="0" collapsed="false">
      <c r="A16" s="7"/>
      <c r="B16" s="6"/>
    </row>
    <row r="17" customFormat="false" ht="48" hidden="false" customHeight="true" outlineLevel="0" collapsed="false">
      <c r="A17" s="7" t="s">
        <v>24</v>
      </c>
      <c r="B17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26</v>
      </c>
    </row>
    <row r="2" customFormat="false" ht="26.85" hidden="false" customHeight="false" outlineLevel="0" collapsed="false">
      <c r="A2" s="2" t="s">
        <v>27</v>
      </c>
    </row>
    <row r="4" customFormat="false" ht="33.75" hidden="false" customHeight="true" outlineLevel="0" collapsed="false">
      <c r="A4" s="8" t="s">
        <v>28</v>
      </c>
      <c r="B4" s="8" t="s">
        <v>29</v>
      </c>
      <c r="C4" s="8" t="s">
        <v>30</v>
      </c>
      <c r="D4" s="8" t="s">
        <v>31</v>
      </c>
    </row>
    <row r="5" customFormat="false" ht="15" hidden="false" customHeight="false" outlineLevel="0" collapsed="false">
      <c r="A5" s="9" t="s">
        <v>32</v>
      </c>
      <c r="B5" s="10" t="n">
        <v>10</v>
      </c>
      <c r="C5" s="11" t="s">
        <v>33</v>
      </c>
      <c r="D5" s="10" t="n">
        <f aca="false">IF(C5="نعم",B5,0)</f>
        <v>10</v>
      </c>
    </row>
    <row r="6" customFormat="false" ht="15" hidden="false" customHeight="false" outlineLevel="0" collapsed="false">
      <c r="A6" s="9" t="s">
        <v>34</v>
      </c>
      <c r="B6" s="10" t="n">
        <v>10</v>
      </c>
      <c r="C6" s="12"/>
      <c r="D6" s="10" t="n">
        <f aca="false">IF(C6="نعم",B6,0)</f>
        <v>0</v>
      </c>
    </row>
    <row r="7" customFormat="false" ht="15" hidden="false" customHeight="false" outlineLevel="0" collapsed="false">
      <c r="A7" s="9" t="s">
        <v>35</v>
      </c>
      <c r="B7" s="10" t="n">
        <v>10</v>
      </c>
      <c r="C7" s="12"/>
      <c r="D7" s="10" t="n">
        <f aca="false">IF(C7="نعم",B7,0)</f>
        <v>0</v>
      </c>
    </row>
    <row r="8" customFormat="false" ht="15" hidden="false" customHeight="false" outlineLevel="0" collapsed="false">
      <c r="A8" s="9" t="s">
        <v>36</v>
      </c>
      <c r="B8" s="10" t="n">
        <v>10</v>
      </c>
      <c r="C8" s="12"/>
      <c r="D8" s="10" t="n">
        <f aca="false">IF(C8="نعم",B8,0)</f>
        <v>0</v>
      </c>
    </row>
    <row r="9" customFormat="false" ht="15" hidden="false" customHeight="false" outlineLevel="0" collapsed="false">
      <c r="A9" s="9" t="s">
        <v>37</v>
      </c>
      <c r="B9" s="10" t="n">
        <v>10</v>
      </c>
      <c r="C9" s="12"/>
      <c r="D9" s="10" t="n">
        <f aca="false">IF(C9="نعم",B9,0)</f>
        <v>0</v>
      </c>
    </row>
    <row r="10" customFormat="false" ht="15" hidden="false" customHeight="false" outlineLevel="0" collapsed="false">
      <c r="A10" s="9" t="s">
        <v>38</v>
      </c>
      <c r="B10" s="10" t="n">
        <v>10</v>
      </c>
      <c r="C10" s="12"/>
      <c r="D10" s="10" t="n">
        <f aca="false">IF(C10="نعم",B10,0)</f>
        <v>0</v>
      </c>
    </row>
    <row r="11" customFormat="false" ht="15" hidden="false" customHeight="false" outlineLevel="0" collapsed="false">
      <c r="A11" s="9" t="s">
        <v>39</v>
      </c>
      <c r="B11" s="10" t="n">
        <v>10</v>
      </c>
      <c r="C11" s="12"/>
      <c r="D11" s="10" t="n">
        <f aca="false">IF(C11="نعم",B11,0)</f>
        <v>0</v>
      </c>
    </row>
    <row r="12" customFormat="false" ht="15" hidden="false" customHeight="false" outlineLevel="0" collapsed="false">
      <c r="A12" s="9" t="s">
        <v>40</v>
      </c>
      <c r="B12" s="10" t="n">
        <v>20</v>
      </c>
      <c r="C12" s="12"/>
      <c r="D12" s="10" t="n">
        <f aca="false">IF(C12="نعم",B12,0)</f>
        <v>0</v>
      </c>
    </row>
    <row r="13" customFormat="false" ht="15" hidden="false" customHeight="false" outlineLevel="0" collapsed="false">
      <c r="A13" s="9" t="s">
        <v>41</v>
      </c>
      <c r="B13" s="10" t="n">
        <v>20</v>
      </c>
      <c r="C13" s="12"/>
      <c r="D13" s="10" t="n">
        <f aca="false">IF(C13="نعم",B13,0)</f>
        <v>0</v>
      </c>
    </row>
    <row r="14" customFormat="false" ht="15" hidden="false" customHeight="false" outlineLevel="0" collapsed="false">
      <c r="A14" s="9" t="s">
        <v>42</v>
      </c>
      <c r="B14" s="10" t="n">
        <v>20</v>
      </c>
      <c r="C14" s="12"/>
      <c r="D14" s="10" t="n">
        <f aca="false">IF(C14="نعم",B14,0)</f>
        <v>0</v>
      </c>
    </row>
    <row r="15" customFormat="false" ht="15" hidden="false" customHeight="false" outlineLevel="0" collapsed="false">
      <c r="A15" s="9" t="s">
        <v>43</v>
      </c>
      <c r="B15" s="10" t="n">
        <v>20</v>
      </c>
      <c r="C15" s="12"/>
      <c r="D15" s="10" t="n">
        <f aca="false">IF(C15="نعم",B15,0)</f>
        <v>0</v>
      </c>
    </row>
    <row r="16" customFormat="false" ht="15" hidden="false" customHeight="false" outlineLevel="0" collapsed="false">
      <c r="A16" s="9" t="s">
        <v>44</v>
      </c>
      <c r="B16" s="10" t="n">
        <v>30</v>
      </c>
      <c r="C16" s="12"/>
      <c r="D16" s="10" t="n">
        <f aca="false">IF(C16="نعم",B16,0)</f>
        <v>0</v>
      </c>
    </row>
    <row r="17" customFormat="false" ht="15" hidden="false" customHeight="false" outlineLevel="0" collapsed="false">
      <c r="A17" s="9" t="s">
        <v>45</v>
      </c>
      <c r="B17" s="10" t="n">
        <v>10</v>
      </c>
      <c r="C17" s="12"/>
      <c r="D17" s="10" t="n">
        <f aca="false">IF(C17="نعم",B17,0)</f>
        <v>0</v>
      </c>
    </row>
    <row r="18" customFormat="false" ht="15" hidden="false" customHeight="false" outlineLevel="0" collapsed="false">
      <c r="A18" s="9" t="s">
        <v>46</v>
      </c>
      <c r="B18" s="10" t="n">
        <v>10</v>
      </c>
      <c r="C18" s="12"/>
      <c r="D18" s="10" t="n">
        <f aca="false">IF(C18="نعم",B18,0)</f>
        <v>0</v>
      </c>
    </row>
    <row r="20" customFormat="false" ht="17.35" hidden="false" customHeight="false" outlineLevel="0" collapsed="false">
      <c r="A20" s="13" t="s">
        <v>47</v>
      </c>
      <c r="B20" s="14" t="n">
        <f aca="false">SUM(B5:B18)</f>
        <v>200</v>
      </c>
      <c r="C20" s="15"/>
      <c r="D20" s="16" t="n">
        <f aca="false">SUM(D5:D18)</f>
        <v>10</v>
      </c>
    </row>
    <row r="21" customFormat="false" ht="16.15" hidden="false" customHeight="false" outlineLevel="0" collapsed="false">
      <c r="A21" s="13" t="s">
        <v>48</v>
      </c>
      <c r="B21" s="15"/>
      <c r="C21" s="15"/>
      <c r="D21" s="17" t="str">
        <f aca="false">IF(D20&gt;=200,"4 · قابل للتمويل · Fundable",IF(D20&gt;=150,"3 · متّصل · Connected",IF(D20&gt;=100,"2 · موثوق · Credible",IF(D20&gt;=50,"1 · مرئي · Visible","ابدأ · Start"))))</f>
        <v>ابدأ · Start</v>
      </c>
    </row>
    <row r="22" customFormat="false" ht="15" hidden="false" customHeight="false" outlineLevel="0" collapsed="false">
      <c r="A22" s="18" t="s">
        <v>49</v>
      </c>
    </row>
  </sheetData>
  <dataValidations count="1">
    <dataValidation allowBlank="true" errorStyle="stop" operator="between" showDropDown="false" showErrorMessage="false" showInputMessage="false" sqref="C5:C18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9" min="5" style="0" width="13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50</v>
      </c>
    </row>
    <row r="2" customFormat="false" ht="52.2" hidden="false" customHeight="false" outlineLevel="0" collapsed="false">
      <c r="A2" s="2" t="s">
        <v>51</v>
      </c>
    </row>
    <row r="4" customFormat="false" ht="33.75" hidden="false" customHeight="true" outlineLevel="0" collapsed="false">
      <c r="A4" s="8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8" t="s">
        <v>57</v>
      </c>
      <c r="G4" s="8" t="s">
        <v>58</v>
      </c>
      <c r="H4" s="8" t="s">
        <v>59</v>
      </c>
      <c r="I4" s="8" t="s">
        <v>60</v>
      </c>
      <c r="J4" s="8" t="s">
        <v>61</v>
      </c>
      <c r="K4" s="8" t="s">
        <v>62</v>
      </c>
    </row>
    <row r="5" customFormat="false" ht="15" hidden="false" customHeight="false" outlineLevel="0" collapsed="false">
      <c r="A5" s="19" t="s">
        <v>63</v>
      </c>
      <c r="B5" s="19" t="s">
        <v>64</v>
      </c>
      <c r="C5" s="19" t="s">
        <v>65</v>
      </c>
      <c r="D5" s="19" t="s">
        <v>66</v>
      </c>
      <c r="E5" s="20" t="n">
        <v>46332</v>
      </c>
      <c r="F5" s="20" t="n">
        <v>46338</v>
      </c>
      <c r="G5" s="20" t="n">
        <v>46346</v>
      </c>
      <c r="H5" s="20"/>
      <c r="I5" s="20"/>
      <c r="J5" s="21" t="n">
        <f aca="false">IF(A5="","",COUNTA(E5:I5))</f>
        <v>3</v>
      </c>
      <c r="K5" s="19" t="s">
        <v>67</v>
      </c>
    </row>
    <row r="6" customFormat="false" ht="15" hidden="false" customHeight="false" outlineLevel="0" collapsed="false">
      <c r="A6" s="22"/>
      <c r="B6" s="22"/>
      <c r="C6" s="22"/>
      <c r="D6" s="22"/>
      <c r="E6" s="23"/>
      <c r="F6" s="23"/>
      <c r="G6" s="23"/>
      <c r="H6" s="23"/>
      <c r="I6" s="23"/>
      <c r="J6" s="21" t="str">
        <f aca="false">IF(A6="","",COUNTA(E6:I6))</f>
        <v/>
      </c>
      <c r="K6" s="22"/>
    </row>
    <row r="7" customFormat="false" ht="15" hidden="false" customHeight="false" outlineLevel="0" collapsed="false">
      <c r="A7" s="22"/>
      <c r="B7" s="22"/>
      <c r="C7" s="22"/>
      <c r="D7" s="22"/>
      <c r="E7" s="23"/>
      <c r="F7" s="23"/>
      <c r="G7" s="23"/>
      <c r="H7" s="23"/>
      <c r="I7" s="23"/>
      <c r="J7" s="21" t="str">
        <f aca="false">IF(A7="","",COUNTA(E7:I7))</f>
        <v/>
      </c>
      <c r="K7" s="22"/>
    </row>
    <row r="8" customFormat="false" ht="15" hidden="false" customHeight="false" outlineLevel="0" collapsed="false">
      <c r="A8" s="22"/>
      <c r="B8" s="22"/>
      <c r="C8" s="22"/>
      <c r="D8" s="22"/>
      <c r="E8" s="23"/>
      <c r="F8" s="23"/>
      <c r="G8" s="23"/>
      <c r="H8" s="23"/>
      <c r="I8" s="23"/>
      <c r="J8" s="21" t="str">
        <f aca="false">IF(A8="","",COUNTA(E8:I8))</f>
        <v/>
      </c>
      <c r="K8" s="22"/>
    </row>
    <row r="9" customFormat="false" ht="15" hidden="false" customHeight="false" outlineLevel="0" collapsed="false">
      <c r="A9" s="22"/>
      <c r="B9" s="22"/>
      <c r="C9" s="22"/>
      <c r="D9" s="22"/>
      <c r="E9" s="23"/>
      <c r="F9" s="23"/>
      <c r="G9" s="23"/>
      <c r="H9" s="23"/>
      <c r="I9" s="23"/>
      <c r="J9" s="21" t="str">
        <f aca="false">IF(A9="","",COUNTA(E9:I9))</f>
        <v/>
      </c>
      <c r="K9" s="22"/>
    </row>
    <row r="10" customFormat="false" ht="15" hidden="false" customHeight="false" outlineLevel="0" collapsed="false">
      <c r="A10" s="22"/>
      <c r="B10" s="22"/>
      <c r="C10" s="22"/>
      <c r="D10" s="22"/>
      <c r="E10" s="23"/>
      <c r="F10" s="23"/>
      <c r="G10" s="23"/>
      <c r="H10" s="23"/>
      <c r="I10" s="23"/>
      <c r="J10" s="21" t="str">
        <f aca="false">IF(A10="","",COUNTA(E10:I10))</f>
        <v/>
      </c>
      <c r="K10" s="22"/>
    </row>
    <row r="11" customFormat="false" ht="15" hidden="false" customHeight="false" outlineLevel="0" collapsed="false">
      <c r="A11" s="22"/>
      <c r="B11" s="22"/>
      <c r="C11" s="22"/>
      <c r="D11" s="22"/>
      <c r="E11" s="23"/>
      <c r="F11" s="23"/>
      <c r="G11" s="23"/>
      <c r="H11" s="23"/>
      <c r="I11" s="23"/>
      <c r="J11" s="21" t="str">
        <f aca="false">IF(A11="","",COUNTA(E11:I11))</f>
        <v/>
      </c>
      <c r="K11" s="22"/>
    </row>
    <row r="12" customFormat="false" ht="15" hidden="false" customHeight="false" outlineLevel="0" collapsed="false">
      <c r="A12" s="22"/>
      <c r="B12" s="22"/>
      <c r="C12" s="22"/>
      <c r="D12" s="22"/>
      <c r="E12" s="23"/>
      <c r="F12" s="23"/>
      <c r="G12" s="23"/>
      <c r="H12" s="23"/>
      <c r="I12" s="23"/>
      <c r="J12" s="21" t="str">
        <f aca="false">IF(A12="","",COUNTA(E12:I12))</f>
        <v/>
      </c>
      <c r="K12" s="22"/>
    </row>
    <row r="13" customFormat="false" ht="15" hidden="false" customHeight="false" outlineLevel="0" collapsed="false">
      <c r="A13" s="22"/>
      <c r="B13" s="22"/>
      <c r="C13" s="22"/>
      <c r="D13" s="22"/>
      <c r="E13" s="23"/>
      <c r="F13" s="23"/>
      <c r="G13" s="23"/>
      <c r="H13" s="23"/>
      <c r="I13" s="23"/>
      <c r="J13" s="21" t="str">
        <f aca="false">IF(A13="","",COUNTA(E13:I13))</f>
        <v/>
      </c>
      <c r="K13" s="22"/>
    </row>
    <row r="14" customFormat="false" ht="15" hidden="false" customHeight="false" outlineLevel="0" collapsed="false">
      <c r="A14" s="22"/>
      <c r="B14" s="22"/>
      <c r="C14" s="22"/>
      <c r="D14" s="22"/>
      <c r="E14" s="23"/>
      <c r="F14" s="23"/>
      <c r="G14" s="23"/>
      <c r="H14" s="23"/>
      <c r="I14" s="23"/>
      <c r="J14" s="21" t="str">
        <f aca="false">IF(A14="","",COUNTA(E14:I14))</f>
        <v/>
      </c>
      <c r="K14" s="22"/>
    </row>
    <row r="15" customFormat="false" ht="15" hidden="false" customHeight="false" outlineLevel="0" collapsed="false">
      <c r="A15" s="22"/>
      <c r="B15" s="22"/>
      <c r="C15" s="22"/>
      <c r="D15" s="22"/>
      <c r="E15" s="23"/>
      <c r="F15" s="23"/>
      <c r="G15" s="23"/>
      <c r="H15" s="23"/>
      <c r="I15" s="23"/>
      <c r="J15" s="21" t="str">
        <f aca="false">IF(A15="","",COUNTA(E15:I15))</f>
        <v/>
      </c>
      <c r="K15" s="22"/>
    </row>
    <row r="16" customFormat="false" ht="15" hidden="false" customHeight="false" outlineLevel="0" collapsed="false">
      <c r="A16" s="22"/>
      <c r="B16" s="22"/>
      <c r="C16" s="22"/>
      <c r="D16" s="22"/>
      <c r="E16" s="23"/>
      <c r="F16" s="23"/>
      <c r="G16" s="23"/>
      <c r="H16" s="23"/>
      <c r="I16" s="23"/>
      <c r="J16" s="21" t="str">
        <f aca="false">IF(A16="","",COUNTA(E16:I16))</f>
        <v/>
      </c>
      <c r="K16" s="22"/>
    </row>
    <row r="17" customFormat="false" ht="15" hidden="false" customHeight="false" outlineLevel="0" collapsed="false">
      <c r="A17" s="22"/>
      <c r="B17" s="22"/>
      <c r="C17" s="22"/>
      <c r="D17" s="22"/>
      <c r="E17" s="23"/>
      <c r="F17" s="23"/>
      <c r="G17" s="23"/>
      <c r="H17" s="23"/>
      <c r="I17" s="23"/>
      <c r="J17" s="21" t="str">
        <f aca="false">IF(A17="","",COUNTA(E17:I17))</f>
        <v/>
      </c>
      <c r="K17" s="22"/>
    </row>
    <row r="18" customFormat="false" ht="15" hidden="false" customHeight="false" outlineLevel="0" collapsed="false">
      <c r="A18" s="22"/>
      <c r="B18" s="22"/>
      <c r="C18" s="22"/>
      <c r="D18" s="22"/>
      <c r="E18" s="23"/>
      <c r="F18" s="23"/>
      <c r="G18" s="23"/>
      <c r="H18" s="23"/>
      <c r="I18" s="23"/>
      <c r="J18" s="21" t="str">
        <f aca="false">IF(A18="","",COUNTA(E18:I18))</f>
        <v/>
      </c>
      <c r="K18" s="22"/>
    </row>
    <row r="19" customFormat="false" ht="15" hidden="false" customHeight="false" outlineLevel="0" collapsed="false">
      <c r="A19" s="22"/>
      <c r="B19" s="22"/>
      <c r="C19" s="22"/>
      <c r="D19" s="22"/>
      <c r="E19" s="23"/>
      <c r="F19" s="23"/>
      <c r="G19" s="23"/>
      <c r="H19" s="23"/>
      <c r="I19" s="23"/>
      <c r="J19" s="21" t="str">
        <f aca="false">IF(A19="","",COUNTA(E19:I19))</f>
        <v/>
      </c>
      <c r="K19" s="22"/>
    </row>
    <row r="20" customFormat="false" ht="15" hidden="false" customHeight="false" outlineLevel="0" collapsed="false">
      <c r="A20" s="22"/>
      <c r="B20" s="22"/>
      <c r="C20" s="22"/>
      <c r="D20" s="22"/>
      <c r="E20" s="23"/>
      <c r="F20" s="23"/>
      <c r="G20" s="23"/>
      <c r="H20" s="23"/>
      <c r="I20" s="23"/>
      <c r="J20" s="21" t="str">
        <f aca="false">IF(A20="","",COUNTA(E20:I20))</f>
        <v/>
      </c>
      <c r="K20" s="22"/>
    </row>
    <row r="21" customFormat="false" ht="15" hidden="false" customHeight="false" outlineLevel="0" collapsed="false">
      <c r="A21" s="22"/>
      <c r="B21" s="22"/>
      <c r="C21" s="22"/>
      <c r="D21" s="22"/>
      <c r="E21" s="23"/>
      <c r="F21" s="23"/>
      <c r="G21" s="23"/>
      <c r="H21" s="23"/>
      <c r="I21" s="23"/>
      <c r="J21" s="21" t="str">
        <f aca="false">IF(A21="","",COUNTA(E21:I21))</f>
        <v/>
      </c>
      <c r="K21" s="22"/>
    </row>
    <row r="22" customFormat="false" ht="15" hidden="false" customHeight="false" outlineLevel="0" collapsed="false">
      <c r="A22" s="22"/>
      <c r="B22" s="22"/>
      <c r="C22" s="22"/>
      <c r="D22" s="22"/>
      <c r="E22" s="23"/>
      <c r="F22" s="23"/>
      <c r="G22" s="23"/>
      <c r="H22" s="23"/>
      <c r="I22" s="23"/>
      <c r="J22" s="21" t="str">
        <f aca="false">IF(A22="","",COUNTA(E22:I22))</f>
        <v/>
      </c>
      <c r="K22" s="22"/>
    </row>
    <row r="23" customFormat="false" ht="15" hidden="false" customHeight="false" outlineLevel="0" collapsed="false">
      <c r="A23" s="22"/>
      <c r="B23" s="22"/>
      <c r="C23" s="22"/>
      <c r="D23" s="22"/>
      <c r="E23" s="23"/>
      <c r="F23" s="23"/>
      <c r="G23" s="23"/>
      <c r="H23" s="23"/>
      <c r="I23" s="23"/>
      <c r="J23" s="21" t="str">
        <f aca="false">IF(A23="","",COUNTA(E23:I23))</f>
        <v/>
      </c>
      <c r="K23" s="22"/>
    </row>
    <row r="24" customFormat="false" ht="15" hidden="false" customHeight="false" outlineLevel="0" collapsed="false">
      <c r="A24" s="22"/>
      <c r="B24" s="22"/>
      <c r="C24" s="22"/>
      <c r="D24" s="22"/>
      <c r="E24" s="23"/>
      <c r="F24" s="23"/>
      <c r="G24" s="23"/>
      <c r="H24" s="23"/>
      <c r="I24" s="23"/>
      <c r="J24" s="21" t="str">
        <f aca="false">IF(A24="","",COUNTA(E24:I24))</f>
        <v/>
      </c>
      <c r="K24" s="22"/>
    </row>
    <row r="25" customFormat="false" ht="15" hidden="false" customHeight="false" outlineLevel="0" collapsed="false">
      <c r="A25" s="22"/>
      <c r="B25" s="22"/>
      <c r="C25" s="22"/>
      <c r="D25" s="22"/>
      <c r="E25" s="23"/>
      <c r="F25" s="23"/>
      <c r="G25" s="23"/>
      <c r="H25" s="23"/>
      <c r="I25" s="23"/>
      <c r="J25" s="21" t="str">
        <f aca="false">IF(A25="","",COUNTA(E25:I25))</f>
        <v/>
      </c>
      <c r="K25" s="22"/>
    </row>
    <row r="26" customFormat="false" ht="15" hidden="false" customHeight="false" outlineLevel="0" collapsed="false">
      <c r="A26" s="22"/>
      <c r="B26" s="22"/>
      <c r="C26" s="22"/>
      <c r="D26" s="22"/>
      <c r="E26" s="23"/>
      <c r="F26" s="23"/>
      <c r="G26" s="23"/>
      <c r="H26" s="23"/>
      <c r="I26" s="23"/>
      <c r="J26" s="21" t="str">
        <f aca="false">IF(A26="","",COUNTA(E26:I26))</f>
        <v/>
      </c>
      <c r="K26" s="22"/>
    </row>
    <row r="27" customFormat="false" ht="15" hidden="false" customHeight="false" outlineLevel="0" collapsed="false">
      <c r="A27" s="22"/>
      <c r="B27" s="22"/>
      <c r="C27" s="22"/>
      <c r="D27" s="22"/>
      <c r="E27" s="23"/>
      <c r="F27" s="23"/>
      <c r="G27" s="23"/>
      <c r="H27" s="23"/>
      <c r="I27" s="23"/>
      <c r="J27" s="21" t="str">
        <f aca="false">IF(A27="","",COUNTA(E27:I27))</f>
        <v/>
      </c>
      <c r="K27" s="22"/>
    </row>
    <row r="28" customFormat="false" ht="15" hidden="false" customHeight="false" outlineLevel="0" collapsed="false">
      <c r="A28" s="22"/>
      <c r="B28" s="22"/>
      <c r="C28" s="22"/>
      <c r="D28" s="22"/>
      <c r="E28" s="23"/>
      <c r="F28" s="23"/>
      <c r="G28" s="23"/>
      <c r="H28" s="23"/>
      <c r="I28" s="23"/>
      <c r="J28" s="21" t="str">
        <f aca="false">IF(A28="","",COUNTA(E28:I28))</f>
        <v/>
      </c>
      <c r="K28" s="22"/>
    </row>
    <row r="29" customFormat="false" ht="15" hidden="false" customHeight="false" outlineLevel="0" collapsed="false">
      <c r="A29" s="22"/>
      <c r="B29" s="22"/>
      <c r="C29" s="22"/>
      <c r="D29" s="22"/>
      <c r="E29" s="23"/>
      <c r="F29" s="23"/>
      <c r="G29" s="23"/>
      <c r="H29" s="23"/>
      <c r="I29" s="23"/>
      <c r="J29" s="21" t="str">
        <f aca="false">IF(A29="","",COUNTA(E29:I29))</f>
        <v/>
      </c>
      <c r="K29" s="22"/>
    </row>
    <row r="30" customFormat="false" ht="15" hidden="false" customHeight="false" outlineLevel="0" collapsed="false">
      <c r="A30" s="22"/>
      <c r="B30" s="22"/>
      <c r="C30" s="22"/>
      <c r="D30" s="22"/>
      <c r="E30" s="23"/>
      <c r="F30" s="23"/>
      <c r="G30" s="23"/>
      <c r="H30" s="23"/>
      <c r="I30" s="23"/>
      <c r="J30" s="21" t="str">
        <f aca="false">IF(A30="","",COUNTA(E30:I30))</f>
        <v/>
      </c>
      <c r="K30" s="22"/>
    </row>
    <row r="31" customFormat="false" ht="15" hidden="false" customHeight="false" outlineLevel="0" collapsed="false">
      <c r="A31" s="22"/>
      <c r="B31" s="22"/>
      <c r="C31" s="22"/>
      <c r="D31" s="22"/>
      <c r="E31" s="23"/>
      <c r="F31" s="23"/>
      <c r="G31" s="23"/>
      <c r="H31" s="23"/>
      <c r="I31" s="23"/>
      <c r="J31" s="21" t="str">
        <f aca="false">IF(A31="","",COUNTA(E31:I31))</f>
        <v/>
      </c>
      <c r="K31" s="22"/>
    </row>
    <row r="32" customFormat="false" ht="15" hidden="false" customHeight="false" outlineLevel="0" collapsed="false">
      <c r="A32" s="22"/>
      <c r="B32" s="22"/>
      <c r="C32" s="22"/>
      <c r="D32" s="22"/>
      <c r="E32" s="23"/>
      <c r="F32" s="23"/>
      <c r="G32" s="23"/>
      <c r="H32" s="23"/>
      <c r="I32" s="23"/>
      <c r="J32" s="21" t="str">
        <f aca="false">IF(A32="","",COUNTA(E32:I32))</f>
        <v/>
      </c>
      <c r="K32" s="22"/>
    </row>
    <row r="33" customFormat="false" ht="15" hidden="false" customHeight="false" outlineLevel="0" collapsed="false">
      <c r="A33" s="22"/>
      <c r="B33" s="22"/>
      <c r="C33" s="22"/>
      <c r="D33" s="22"/>
      <c r="E33" s="23"/>
      <c r="F33" s="23"/>
      <c r="G33" s="23"/>
      <c r="H33" s="23"/>
      <c r="I33" s="23"/>
      <c r="J33" s="21" t="str">
        <f aca="false">IF(A33="","",COUNTA(E33:I33))</f>
        <v/>
      </c>
      <c r="K33" s="22"/>
    </row>
    <row r="34" customFormat="false" ht="15" hidden="false" customHeight="false" outlineLevel="0" collapsed="false">
      <c r="A34" s="22"/>
      <c r="B34" s="22"/>
      <c r="C34" s="22"/>
      <c r="D34" s="22"/>
      <c r="E34" s="23"/>
      <c r="F34" s="23"/>
      <c r="G34" s="23"/>
      <c r="H34" s="23"/>
      <c r="I34" s="23"/>
      <c r="J34" s="21" t="str">
        <f aca="false">IF(A34="","",COUNTA(E34:I34))</f>
        <v/>
      </c>
      <c r="K34" s="22"/>
    </row>
    <row r="35" customFormat="false" ht="15" hidden="false" customHeight="false" outlineLevel="0" collapsed="false">
      <c r="A35" s="22"/>
      <c r="B35" s="22"/>
      <c r="C35" s="22"/>
      <c r="D35" s="22"/>
      <c r="E35" s="23"/>
      <c r="F35" s="23"/>
      <c r="G35" s="23"/>
      <c r="H35" s="23"/>
      <c r="I35" s="23"/>
      <c r="J35" s="21" t="str">
        <f aca="false">IF(A35="","",COUNTA(E35:I35))</f>
        <v/>
      </c>
      <c r="K35" s="22"/>
    </row>
    <row r="36" customFormat="false" ht="15" hidden="false" customHeight="false" outlineLevel="0" collapsed="false">
      <c r="A36" s="22"/>
      <c r="B36" s="22"/>
      <c r="C36" s="22"/>
      <c r="D36" s="22"/>
      <c r="E36" s="23"/>
      <c r="F36" s="23"/>
      <c r="G36" s="23"/>
      <c r="H36" s="23"/>
      <c r="I36" s="23"/>
      <c r="J36" s="21" t="str">
        <f aca="false">IF(A36="","",COUNTA(E36:I36))</f>
        <v/>
      </c>
      <c r="K36" s="22"/>
    </row>
    <row r="37" customFormat="false" ht="15" hidden="false" customHeight="false" outlineLevel="0" collapsed="false">
      <c r="A37" s="22"/>
      <c r="B37" s="22"/>
      <c r="C37" s="22"/>
      <c r="D37" s="22"/>
      <c r="E37" s="23"/>
      <c r="F37" s="23"/>
      <c r="G37" s="23"/>
      <c r="H37" s="23"/>
      <c r="I37" s="23"/>
      <c r="J37" s="21" t="str">
        <f aca="false">IF(A37="","",COUNTA(E37:I37))</f>
        <v/>
      </c>
      <c r="K37" s="22"/>
    </row>
    <row r="38" customFormat="false" ht="15" hidden="false" customHeight="false" outlineLevel="0" collapsed="false">
      <c r="A38" s="22"/>
      <c r="B38" s="22"/>
      <c r="C38" s="22"/>
      <c r="D38" s="22"/>
      <c r="E38" s="23"/>
      <c r="F38" s="23"/>
      <c r="G38" s="23"/>
      <c r="H38" s="23"/>
      <c r="I38" s="23"/>
      <c r="J38" s="21" t="str">
        <f aca="false">IF(A38="","",COUNTA(E38:I38))</f>
        <v/>
      </c>
      <c r="K38" s="22"/>
    </row>
    <row r="39" customFormat="false" ht="15" hidden="false" customHeight="false" outlineLevel="0" collapsed="false">
      <c r="A39" s="22"/>
      <c r="B39" s="22"/>
      <c r="C39" s="22"/>
      <c r="D39" s="22"/>
      <c r="E39" s="23"/>
      <c r="F39" s="23"/>
      <c r="G39" s="23"/>
      <c r="H39" s="23"/>
      <c r="I39" s="23"/>
      <c r="J39" s="21" t="str">
        <f aca="false">IF(A39="","",COUNTA(E39:I39))</f>
        <v/>
      </c>
      <c r="K39" s="22"/>
    </row>
    <row r="40" customFormat="false" ht="15" hidden="false" customHeight="false" outlineLevel="0" collapsed="false">
      <c r="A40" s="22"/>
      <c r="B40" s="22"/>
      <c r="C40" s="22"/>
      <c r="D40" s="22"/>
      <c r="E40" s="23"/>
      <c r="F40" s="23"/>
      <c r="G40" s="23"/>
      <c r="H40" s="23"/>
      <c r="I40" s="23"/>
      <c r="J40" s="21" t="str">
        <f aca="false">IF(A40="","",COUNTA(E40:I40))</f>
        <v/>
      </c>
      <c r="K40" s="22"/>
    </row>
    <row r="41" customFormat="false" ht="15" hidden="false" customHeight="false" outlineLevel="0" collapsed="false">
      <c r="A41" s="22"/>
      <c r="B41" s="22"/>
      <c r="C41" s="22"/>
      <c r="D41" s="22"/>
      <c r="E41" s="23"/>
      <c r="F41" s="23"/>
      <c r="G41" s="23"/>
      <c r="H41" s="23"/>
      <c r="I41" s="23"/>
      <c r="J41" s="21" t="str">
        <f aca="false">IF(A41="","",COUNTA(E41:I41))</f>
        <v/>
      </c>
      <c r="K41" s="22"/>
    </row>
    <row r="42" customFormat="false" ht="15" hidden="false" customHeight="false" outlineLevel="0" collapsed="false">
      <c r="A42" s="22"/>
      <c r="B42" s="22"/>
      <c r="C42" s="22"/>
      <c r="D42" s="22"/>
      <c r="E42" s="23"/>
      <c r="F42" s="23"/>
      <c r="G42" s="23"/>
      <c r="H42" s="23"/>
      <c r="I42" s="23"/>
      <c r="J42" s="21" t="str">
        <f aca="false">IF(A42="","",COUNTA(E42:I42))</f>
        <v/>
      </c>
      <c r="K42" s="22"/>
    </row>
    <row r="43" customFormat="false" ht="15" hidden="false" customHeight="false" outlineLevel="0" collapsed="false">
      <c r="A43" s="22"/>
      <c r="B43" s="22"/>
      <c r="C43" s="22"/>
      <c r="D43" s="22"/>
      <c r="E43" s="23"/>
      <c r="F43" s="23"/>
      <c r="G43" s="23"/>
      <c r="H43" s="23"/>
      <c r="I43" s="23"/>
      <c r="J43" s="21" t="str">
        <f aca="false">IF(A43="","",COUNTA(E43:I43))</f>
        <v/>
      </c>
      <c r="K43" s="22"/>
    </row>
    <row r="44" customFormat="false" ht="15" hidden="false" customHeight="false" outlineLevel="0" collapsed="false">
      <c r="A44" s="22"/>
      <c r="B44" s="22"/>
      <c r="C44" s="22"/>
      <c r="D44" s="22"/>
      <c r="E44" s="23"/>
      <c r="F44" s="23"/>
      <c r="G44" s="23"/>
      <c r="H44" s="23"/>
      <c r="I44" s="23"/>
      <c r="J44" s="21" t="str">
        <f aca="false">IF(A44="","",COUNTA(E44:I44))</f>
        <v/>
      </c>
      <c r="K44" s="22"/>
    </row>
    <row r="46" customFormat="false" ht="16.15" hidden="false" customHeight="false" outlineLevel="0" collapsed="false">
      <c r="A46" s="24" t="s">
        <v>68</v>
      </c>
      <c r="J46" s="25" t="n">
        <f aca="false">COUNTIFS(B5:B44,"المموّلون",J5:J44,"&gt;=3")</f>
        <v>1</v>
      </c>
    </row>
  </sheetData>
  <conditionalFormatting sqref="J5:J44">
    <cfRule type="expression" priority="2" aboveAverage="0" equalAverage="0" bottom="0" percent="0" rank="0" text="" dxfId="0">
      <formula>AND(ISNUMBER(J5),J5&gt;=5)</formula>
    </cfRule>
  </conditionalFormatting>
  <dataValidations count="1">
    <dataValidation allowBlank="true" errorStyle="stop" operator="between" showDropDown="false" showErrorMessage="false" showInputMessage="false" sqref="B5:B44" type="list">
      <formula1>"النواة,الحلفاء,الموصِلون,المموّلون"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22"/>
  </cols>
  <sheetData>
    <row r="1" customFormat="false" ht="30" hidden="false" customHeight="true" outlineLevel="0" collapsed="false">
      <c r="A1" s="1" t="s">
        <v>69</v>
      </c>
    </row>
    <row r="2" customFormat="false" ht="77.6" hidden="false" customHeight="false" outlineLevel="0" collapsed="false">
      <c r="A2" s="2" t="s">
        <v>70</v>
      </c>
    </row>
    <row r="4" customFormat="false" ht="48" hidden="false" customHeight="true" outlineLevel="0" collapsed="false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</row>
    <row r="5" customFormat="false" ht="15" hidden="false" customHeight="false" outlineLevel="0" collapsed="false">
      <c r="A5" s="26" t="s">
        <v>79</v>
      </c>
      <c r="B5" s="11" t="n">
        <v>40</v>
      </c>
      <c r="C5" s="11" t="n">
        <v>25</v>
      </c>
      <c r="D5" s="11" t="n">
        <v>3</v>
      </c>
      <c r="E5" s="11" t="n">
        <v>2</v>
      </c>
      <c r="F5" s="11" t="n">
        <v>1</v>
      </c>
      <c r="G5" s="11" t="n">
        <v>1</v>
      </c>
      <c r="H5" s="27" t="n">
        <f aca="false">IF(F5&gt;0,G5/F5,"")</f>
        <v>1</v>
      </c>
    </row>
    <row r="6" customFormat="false" ht="15" hidden="false" customHeight="false" outlineLevel="0" collapsed="false">
      <c r="A6" s="26" t="s">
        <v>80</v>
      </c>
      <c r="B6" s="28"/>
      <c r="C6" s="28"/>
      <c r="D6" s="28"/>
      <c r="E6" s="28"/>
      <c r="F6" s="28"/>
      <c r="G6" s="28"/>
      <c r="H6" s="27" t="str">
        <f aca="false">IF(F6&gt;0,G6/F6,"")</f>
        <v/>
      </c>
    </row>
    <row r="7" customFormat="false" ht="15" hidden="false" customHeight="false" outlineLevel="0" collapsed="false">
      <c r="A7" s="26" t="s">
        <v>81</v>
      </c>
      <c r="B7" s="28"/>
      <c r="C7" s="28"/>
      <c r="D7" s="28"/>
      <c r="E7" s="28"/>
      <c r="F7" s="28"/>
      <c r="G7" s="28"/>
      <c r="H7" s="27" t="str">
        <f aca="false">IF(F7&gt;0,G7/F7,"")</f>
        <v/>
      </c>
    </row>
    <row r="8" customFormat="false" ht="15" hidden="false" customHeight="false" outlineLevel="0" collapsed="false">
      <c r="A8" s="26" t="s">
        <v>82</v>
      </c>
      <c r="B8" s="28"/>
      <c r="C8" s="28"/>
      <c r="D8" s="28"/>
      <c r="E8" s="28"/>
      <c r="F8" s="28"/>
      <c r="G8" s="28"/>
      <c r="H8" s="27" t="str">
        <f aca="false">IF(F8&gt;0,G8/F8,"")</f>
        <v/>
      </c>
    </row>
    <row r="9" customFormat="false" ht="15" hidden="false" customHeight="false" outlineLevel="0" collapsed="false">
      <c r="A9" s="26" t="s">
        <v>83</v>
      </c>
      <c r="B9" s="28"/>
      <c r="C9" s="28"/>
      <c r="D9" s="28"/>
      <c r="E9" s="28"/>
      <c r="F9" s="28"/>
      <c r="G9" s="28"/>
      <c r="H9" s="27" t="str">
        <f aca="false">IF(F9&gt;0,G9/F9,"")</f>
        <v/>
      </c>
    </row>
    <row r="10" customFormat="false" ht="15" hidden="false" customHeight="false" outlineLevel="0" collapsed="false">
      <c r="A10" s="26" t="s">
        <v>84</v>
      </c>
      <c r="B10" s="28"/>
      <c r="C10" s="28"/>
      <c r="D10" s="28"/>
      <c r="E10" s="28"/>
      <c r="F10" s="28"/>
      <c r="G10" s="28"/>
      <c r="H10" s="27" t="str">
        <f aca="false">IF(F10&gt;0,G10/F10,"")</f>
        <v/>
      </c>
    </row>
    <row r="12" customFormat="false" ht="15" hidden="false" customHeight="false" outlineLevel="0" collapsed="false">
      <c r="A12" s="18" t="s">
        <v>85</v>
      </c>
    </row>
    <row r="13" customFormat="false" ht="15" hidden="false" customHeight="false" outlineLevel="0" collapsed="false">
      <c r="A13" s="1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87</v>
      </c>
    </row>
    <row r="2" customFormat="false" ht="26.85" hidden="false" customHeight="false" outlineLevel="0" collapsed="false">
      <c r="A2" s="2" t="s">
        <v>88</v>
      </c>
    </row>
    <row r="4" customFormat="false" ht="33.75" hidden="false" customHeight="true" outlineLevel="0" collapsed="false">
      <c r="A4" s="8" t="s">
        <v>89</v>
      </c>
      <c r="B4" s="8" t="s">
        <v>90</v>
      </c>
      <c r="C4" s="8" t="s">
        <v>91</v>
      </c>
      <c r="D4" s="8" t="s">
        <v>92</v>
      </c>
      <c r="E4" s="8" t="s">
        <v>93</v>
      </c>
      <c r="F4" s="8" t="s">
        <v>94</v>
      </c>
      <c r="G4" s="8" t="s">
        <v>95</v>
      </c>
    </row>
    <row r="5" customFormat="false" ht="15" hidden="false" customHeight="false" outlineLevel="0" collapsed="false">
      <c r="A5" s="29" t="s">
        <v>96</v>
      </c>
      <c r="B5" s="20" t="n">
        <v>46335</v>
      </c>
      <c r="C5" s="19" t="s">
        <v>97</v>
      </c>
      <c r="D5" s="19" t="s">
        <v>98</v>
      </c>
      <c r="E5" s="19" t="s">
        <v>99</v>
      </c>
      <c r="F5" s="19" t="s">
        <v>100</v>
      </c>
      <c r="G5" s="19" t="s">
        <v>33</v>
      </c>
    </row>
    <row r="6" customFormat="false" ht="15" hidden="false" customHeight="false" outlineLevel="0" collapsed="false">
      <c r="A6" s="29"/>
      <c r="B6" s="23"/>
      <c r="C6" s="22"/>
      <c r="D6" s="22"/>
      <c r="E6" s="22"/>
      <c r="F6" s="22"/>
      <c r="G6" s="22"/>
    </row>
    <row r="7" customFormat="false" ht="15" hidden="false" customHeight="false" outlineLevel="0" collapsed="false">
      <c r="A7" s="29"/>
      <c r="B7" s="23"/>
      <c r="C7" s="22"/>
      <c r="D7" s="22"/>
      <c r="E7" s="22"/>
      <c r="F7" s="22"/>
      <c r="G7" s="22"/>
    </row>
    <row r="8" customFormat="false" ht="15" hidden="false" customHeight="false" outlineLevel="0" collapsed="false">
      <c r="A8" s="29" t="s">
        <v>101</v>
      </c>
      <c r="B8" s="23"/>
      <c r="C8" s="22"/>
      <c r="D8" s="22"/>
      <c r="E8" s="22"/>
      <c r="F8" s="22"/>
      <c r="G8" s="22"/>
    </row>
    <row r="9" customFormat="false" ht="15" hidden="false" customHeight="false" outlineLevel="0" collapsed="false">
      <c r="A9" s="29"/>
      <c r="B9" s="23"/>
      <c r="C9" s="22"/>
      <c r="D9" s="22"/>
      <c r="E9" s="22"/>
      <c r="F9" s="22"/>
      <c r="G9" s="22"/>
    </row>
    <row r="10" customFormat="false" ht="15" hidden="false" customHeight="false" outlineLevel="0" collapsed="false">
      <c r="A10" s="29"/>
      <c r="B10" s="23"/>
      <c r="C10" s="22"/>
      <c r="D10" s="22"/>
      <c r="E10" s="22"/>
      <c r="F10" s="22"/>
      <c r="G10" s="22"/>
    </row>
    <row r="11" customFormat="false" ht="15" hidden="false" customHeight="false" outlineLevel="0" collapsed="false">
      <c r="A11" s="29" t="s">
        <v>102</v>
      </c>
      <c r="B11" s="23"/>
      <c r="C11" s="22"/>
      <c r="D11" s="22"/>
      <c r="E11" s="22"/>
      <c r="F11" s="22"/>
      <c r="G11" s="22"/>
    </row>
    <row r="12" customFormat="false" ht="15" hidden="false" customHeight="false" outlineLevel="0" collapsed="false">
      <c r="A12" s="29"/>
      <c r="B12" s="23"/>
      <c r="C12" s="22"/>
      <c r="D12" s="22"/>
      <c r="E12" s="22"/>
      <c r="F12" s="22"/>
      <c r="G12" s="22"/>
    </row>
    <row r="13" customFormat="false" ht="15" hidden="false" customHeight="false" outlineLevel="0" collapsed="false">
      <c r="A13" s="29"/>
      <c r="B13" s="23"/>
      <c r="C13" s="22"/>
      <c r="D13" s="22"/>
      <c r="E13" s="22"/>
      <c r="F13" s="22"/>
      <c r="G13" s="22"/>
    </row>
    <row r="14" customFormat="false" ht="15" hidden="false" customHeight="false" outlineLevel="0" collapsed="false">
      <c r="A14" s="29" t="s">
        <v>103</v>
      </c>
      <c r="B14" s="23"/>
      <c r="C14" s="22"/>
      <c r="D14" s="22"/>
      <c r="E14" s="22"/>
      <c r="F14" s="22"/>
      <c r="G14" s="22"/>
    </row>
    <row r="15" customFormat="false" ht="15" hidden="false" customHeight="false" outlineLevel="0" collapsed="false">
      <c r="A15" s="29"/>
      <c r="B15" s="23"/>
      <c r="C15" s="22"/>
      <c r="D15" s="22"/>
      <c r="E15" s="22"/>
      <c r="F15" s="22"/>
      <c r="G15" s="22"/>
    </row>
    <row r="16" customFormat="false" ht="15" hidden="false" customHeight="false" outlineLevel="0" collapsed="false">
      <c r="A16" s="29"/>
      <c r="B16" s="23"/>
      <c r="C16" s="22"/>
      <c r="D16" s="22"/>
      <c r="E16" s="22"/>
      <c r="F16" s="22"/>
      <c r="G16" s="22"/>
    </row>
    <row r="18" customFormat="false" ht="16.15" hidden="false" customHeight="false" outlineLevel="0" collapsed="false">
      <c r="A18" s="24" t="s">
        <v>104</v>
      </c>
      <c r="G18" s="25" t="n">
        <f aca="false">COUNTIF(G5:G16,"نعم")</f>
        <v>1</v>
      </c>
    </row>
  </sheetData>
  <dataValidations count="2">
    <dataValidation allowBlank="true" errorStyle="stop" operator="between" showDropDown="false" showErrorMessage="false" showInputMessage="false" sqref="D5:D16" type="list">
      <formula1>"تعريف,إثبات,سجل فشل,قصة رقم,خلف الكواليس,نصيحة,سؤال,طلب"</formula1>
      <formula2>0</formula2>
    </dataValidation>
    <dataValidation allowBlank="true" errorStyle="stop" operator="between" showDropDown="false" showErrorMessage="false" showInputMessage="false" sqref="G5:G16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2026-10-27T15:01:03Z</dcterms:created>
  <dc:creator>openpyxl</dc:creator>
  <dc:description/>
  <dc:language>en-US</dc:language>
  <cp:lastModifiedBy/>
  <dcterms:modified xsi:type="dcterms:W3CDTF">2026-10-27T15:01:03Z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